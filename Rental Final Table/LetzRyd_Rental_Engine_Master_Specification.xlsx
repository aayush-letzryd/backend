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ules &amp; Flow" sheetId="2" state="visible" r:id="rId2"/>
    <sheet xmlns:r="http://schemas.openxmlformats.org/officeDocument/2006/relationships" name="Schema" sheetId="3" state="visible" r:id="rId3"/>
    <sheet xmlns:r="http://schemas.openxmlformats.org/officeDocument/2006/relationships" name="Examples" sheetId="4" state="visible" r:id="rId4"/>
  </sheets>
  <definedNames/>
  <calcPr calcId="124519" fullCalcOnLoad="1"/>
</workbook>
</file>

<file path=xl/styles.xml><?xml version="1.0" encoding="utf-8"?>
<styleSheet xmlns="http://schemas.openxmlformats.org/spreadsheetml/2006/main">
  <numFmts count="1">
    <numFmt numFmtId="164" formatCode="₹#,##0.00"/>
  </numFmts>
  <fonts count="9">
    <font>
      <name val="Calibri"/>
      <family val="2"/>
      <color theme="1"/>
      <sz val="11"/>
      <scheme val="minor"/>
    </font>
    <font>
      <name val="Segoe UI"/>
      <b val="1"/>
      <color rgb="00FFFFFF"/>
      <sz val="14"/>
    </font>
    <font>
      <name val="Segoe UI"/>
      <b val="1"/>
      <color rgb="000F2537"/>
      <sz val="12"/>
    </font>
    <font>
      <name val="Segoe UI"/>
      <b val="1"/>
      <color rgb="00FFFFFF"/>
      <sz val="10"/>
    </font>
    <font>
      <name val="Consolas"/>
      <b val="1"/>
      <color rgb="001F4E79"/>
      <sz val="9"/>
    </font>
    <font>
      <name val="Segoe UI"/>
      <color rgb="001A1A1A"/>
      <sz val="9"/>
    </font>
    <font>
      <name val="Segoe UI"/>
      <b val="1"/>
      <color rgb="00000000"/>
      <sz val="9"/>
    </font>
    <font>
      <name val="Segoe UI"/>
      <color rgb="00333333"/>
      <sz val="9"/>
    </font>
    <font>
      <name val="Segoe UI"/>
      <b val="1"/>
      <color rgb="000F2537"/>
      <sz val="11"/>
    </font>
  </fonts>
  <fills count="8">
    <fill>
      <patternFill/>
    </fill>
    <fill>
      <patternFill patternType="gray125"/>
    </fill>
    <fill>
      <patternFill patternType="solid">
        <fgColor rgb="000F2537"/>
        <bgColor rgb="000F2537"/>
      </patternFill>
    </fill>
    <fill>
      <patternFill patternType="solid">
        <fgColor rgb="001F4E79"/>
        <bgColor rgb="001F4E79"/>
      </patternFill>
    </fill>
    <fill>
      <patternFill patternType="solid">
        <fgColor rgb="00FFFFFF"/>
        <bgColor rgb="00FFFFFF"/>
      </patternFill>
    </fill>
    <fill>
      <patternFill patternType="solid">
        <fgColor rgb="00F8F9FA"/>
        <bgColor rgb="00F8F9FA"/>
      </patternFill>
    </fill>
    <fill>
      <patternFill patternType="solid">
        <fgColor rgb="00D9E1F2"/>
        <bgColor rgb="00D9E1F2"/>
      </patternFill>
    </fill>
    <fill>
      <patternFill patternType="solid">
        <fgColor rgb="00DDEBF7"/>
        <bgColor rgb="00DDEB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center" vertical="center" wrapText="1"/>
    </xf>
    <xf numFmtId="0" fontId="4"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4" fillId="5" borderId="1" applyAlignment="1" pivotButton="0" quotePrefix="0" xfId="0">
      <alignment horizontal="left"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left" vertical="center" wrapText="1"/>
    </xf>
    <xf numFmtId="0" fontId="0" fillId="0" borderId="1" pivotButton="0" quotePrefix="0" xfId="0"/>
    <xf numFmtId="0" fontId="7" fillId="4" borderId="1" applyAlignment="1" pivotButton="0" quotePrefix="0" xfId="0">
      <alignment horizontal="left" vertical="center"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8" fillId="6" borderId="1" applyAlignment="1" pivotButton="0" quotePrefix="0" xfId="0">
      <alignment horizontal="left" vertical="center" wrapText="1"/>
    </xf>
    <xf numFmtId="0" fontId="7" fillId="7" borderId="1" applyAlignment="1" pivotButton="0" quotePrefix="0" xfId="0">
      <alignment horizontal="left" vertical="top" wrapText="1"/>
    </xf>
    <xf numFmtId="164" fontId="5" fillId="4" borderId="1" applyAlignment="1" pivotButton="0" quotePrefix="0" xfId="0">
      <alignment horizontal="right" vertical="center"/>
    </xf>
    <xf numFmtId="164" fontId="6" fillId="4" borderId="1" applyAlignment="1" pivotButton="0" quotePrefix="0" xfId="0">
      <alignment horizontal="right" vertical="center"/>
    </xf>
    <xf numFmtId="164" fontId="5" fillId="5" borderId="1" applyAlignment="1" pivotButton="0" quotePrefix="0" xfId="0">
      <alignment horizontal="right" vertical="center"/>
    </xf>
    <xf numFmtId="164" fontId="6"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F17"/>
  <sheetViews>
    <sheetView showGridLines="1" workbookViewId="0">
      <selection activeCell="A1" sqref="A1"/>
    </sheetView>
  </sheetViews>
  <sheetFormatPr baseColWidth="8" defaultRowHeight="15"/>
  <cols>
    <col width="24" customWidth="1" min="1" max="1"/>
    <col width="26" customWidth="1" min="2" max="2"/>
    <col width="30" customWidth="1" min="3" max="3"/>
    <col width="18" customWidth="1" min="4" max="4"/>
    <col width="45" customWidth="1" min="5" max="5"/>
    <col width="45" customWidth="1" min="6" max="6"/>
  </cols>
  <sheetData>
    <row r="2">
      <c r="A2" s="1" t="inlineStr">
        <is>
          <t>LetzRyd Rental System — Overview</t>
        </is>
      </c>
    </row>
    <row r="3"/>
    <row r="5">
      <c r="A5" s="2" t="inlineStr">
        <is>
          <t>1. Core Tables Summary</t>
        </is>
      </c>
    </row>
    <row r="6">
      <c r="A6" s="3" t="inlineStr">
        <is>
          <t>Table Name</t>
        </is>
      </c>
      <c r="B6" s="3" t="inlineStr">
        <is>
          <t>Type / Layer</t>
        </is>
      </c>
      <c r="C6" s="3" t="inlineStr">
        <is>
          <t>Source</t>
        </is>
      </c>
      <c r="D6" s="3" t="inlineStr">
        <is>
          <t>Records</t>
        </is>
      </c>
      <c r="E6" s="3" t="inlineStr">
        <is>
          <t>What This Table Is Used For</t>
        </is>
      </c>
      <c r="F6" s="3" t="inlineStr">
        <is>
          <t>Key Role in Engine</t>
        </is>
      </c>
    </row>
    <row r="7">
      <c r="A7" s="4" t="inlineStr">
        <is>
          <t>sheet_rental_slabs</t>
        </is>
      </c>
      <c r="B7" s="5" t="inlineStr">
        <is>
          <t>Sheet Staging (Catalog)</t>
        </is>
      </c>
      <c r="C7" s="6" t="inlineStr">
        <is>
          <t>Google Sheet (Rental Slab tabs)</t>
        </is>
      </c>
      <c r="D7" s="5" t="inlineStr">
        <is>
          <t>54 active tiers</t>
        </is>
      </c>
      <c r="E7" s="6" t="inlineStr">
        <is>
          <t>Stores the official pricing menu for all cities. Defines weekly trip brackets and daily base rents for each car model.</t>
        </is>
      </c>
      <c r="F7" s="6" t="inlineStr">
        <is>
          <t>Provides the rate card for standard Uber reducing plans and standard All-Platform flat plans.</t>
        </is>
      </c>
    </row>
    <row r="8">
      <c r="A8" s="7" t="inlineStr">
        <is>
          <t>sheet_rental_partners</t>
        </is>
      </c>
      <c r="B8" s="8" t="inlineStr">
        <is>
          <t>Sheet Staging (Agreements)</t>
        </is>
      </c>
      <c r="C8" s="9" t="inlineStr">
        <is>
          <t>Google Sheet (Driver platform tabs)</t>
        </is>
      </c>
      <c r="D8" s="8" t="inlineStr">
        <is>
          <t>511 partner deals</t>
        </is>
      </c>
      <c r="E8" s="9" t="inlineStr">
        <is>
          <t>Stores driver agreements, platform types, and special negotiated deals for fleet operators.</t>
        </is>
      </c>
      <c r="F8" s="9" t="inlineStr">
        <is>
          <t>Identifies who has a custom negotiated rate (e.g. ₹970 or ₹1,070) or reduced indemnity (e.g. ₹15 or ₹0).</t>
        </is>
      </c>
    </row>
    <row r="9">
      <c r="A9" s="4" t="inlineStr">
        <is>
          <t>core_rent</t>
        </is>
      </c>
      <c r="B9" s="5" t="inlineStr">
        <is>
          <t>Master Contract Table</t>
        </is>
      </c>
      <c r="C9" s="6" t="inlineStr">
        <is>
          <t>Allocations + sheet_rental_partners</t>
        </is>
      </c>
      <c r="D9" s="5" t="inlineStr">
        <is>
          <t>1,512 contracts</t>
        </is>
      </c>
      <c r="E9" s="6" t="inlineStr">
        <is>
          <t>The legal master agreement for every vehicle. Binds the vehicle, driver/operator, plan type, custom daily rent, and daily indemnity.</t>
        </is>
      </c>
      <c r="F9" s="6" t="inlineStr">
        <is>
          <t>Single source of truth used by the calculation engine for daily billing.</t>
        </is>
      </c>
    </row>
    <row r="10">
      <c r="A10" s="7" t="inlineStr">
        <is>
          <t>core_rent_logs</t>
        </is>
      </c>
      <c r="B10" s="8" t="inlineStr">
        <is>
          <t>Audit Trail Table</t>
        </is>
      </c>
      <c r="C10" s="9" t="inlineStr">
        <is>
          <t>Automatic Database Triggers</t>
        </is>
      </c>
      <c r="D10" s="8" t="inlineStr">
        <is>
          <t>1,512+ audit logs</t>
        </is>
      </c>
      <c r="E10" s="9" t="inlineStr">
        <is>
          <t>Immutable history of every contract change. Records old rate, new rate, effective date, change reason, and who made the change.</t>
        </is>
      </c>
      <c r="F10" s="9" t="inlineStr">
        <is>
          <t>Ensures financial accountability and prevents unauthorized or untracked rate changes.</t>
        </is>
      </c>
    </row>
    <row r="11">
      <c r="A11" s="4" t="inlineStr">
        <is>
          <t>daily_rent_log</t>
        </is>
      </c>
      <c r="B11" s="5" t="inlineStr">
        <is>
          <t>Daily Settlement Ledger</t>
        </is>
      </c>
      <c r="C11" s="6" t="inlineStr">
        <is>
          <t>core_rent + attendance + trips</t>
        </is>
      </c>
      <c r="D11" s="5" t="inlineStr">
        <is>
          <t>Daily ledger</t>
        </is>
      </c>
      <c r="E11" s="6" t="inlineStr">
        <is>
          <t>Calculates and stores daily rent for every vehicle based on attendance status, earned trip tier, and indemnity fees.</t>
        </is>
      </c>
      <c r="F11" s="6" t="inlineStr">
        <is>
          <t>Produces the final weekly settlement (Hisaab) totals for driver wallets and operator payouts.</t>
        </is>
      </c>
    </row>
    <row r="14">
      <c r="A14" s="2" t="inlineStr">
        <is>
          <t>2. Rental Calculation Formulas</t>
        </is>
      </c>
    </row>
    <row r="15">
      <c r="A15" s="10" t="inlineStr">
        <is>
          <t>Daily Rent Formula</t>
        </is>
      </c>
      <c r="B15" s="11" t="n"/>
      <c r="C15" s="4" t="inlineStr">
        <is>
          <t>Net Daily Rent = Applied Daily Rent + Applied Daily Indemnity</t>
        </is>
      </c>
      <c r="D15" s="11" t="n"/>
      <c r="E15" s="12" t="inlineStr">
        <is>
          <t>Calculated for each vehicle for every calendar day. If the vehicle is On-Road, both rent and indemnity are charged. If in workshop, both are ₹0.00.</t>
        </is>
      </c>
      <c r="F15" s="11" t="n"/>
    </row>
    <row r="16">
      <c r="A16" s="10" t="inlineStr">
        <is>
          <t>Weekly Settlement (Hisaab)</t>
        </is>
      </c>
      <c r="B16" s="11" t="n"/>
      <c r="C16" s="4" t="inlineStr">
        <is>
          <t>Total Weekly Rent = (Applied Daily Rent × On-Road Days) + (Applied Daily Indemnity × On-Road Days)</t>
        </is>
      </c>
      <c r="D16" s="11" t="n"/>
      <c r="E16" s="12" t="inlineStr">
        <is>
          <t>Settled every Sunday at midnight. The driver's earned trip tier sets the daily rent, which multiplies only across active on-road days.</t>
        </is>
      </c>
      <c r="F16" s="11" t="n"/>
    </row>
    <row r="17">
      <c r="A17" s="10" t="inlineStr">
        <is>
          <t>Non-Billable Days</t>
        </is>
      </c>
      <c r="B17" s="11" t="n"/>
      <c r="C17" s="4" t="inlineStr">
        <is>
          <t>Net Daily Rent = ₹0.00 (Rent = ₹0.00, Indemnity = ₹0.00)</t>
        </is>
      </c>
      <c r="D17" s="11" t="n"/>
      <c r="E17" s="12" t="inlineStr">
        <is>
          <t>When attendance status is 'Maintenance', 'Accident', or 'Breakdown', the day is non-billable and no fees are charged.</t>
        </is>
      </c>
      <c r="F17" s="11" t="n"/>
    </row>
  </sheetData>
  <mergeCells count="10">
    <mergeCell ref="A16:B16"/>
    <mergeCell ref="A2:F3"/>
    <mergeCell ref="A15:B15"/>
    <mergeCell ref="C16:D16"/>
    <mergeCell ref="E15:F15"/>
    <mergeCell ref="C15:D15"/>
    <mergeCell ref="E16:F16"/>
    <mergeCell ref="A17:B17"/>
    <mergeCell ref="E17:F17"/>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F25"/>
  <sheetViews>
    <sheetView showGridLines="1" workbookViewId="0">
      <selection activeCell="A1" sqref="A1"/>
    </sheetView>
  </sheetViews>
  <sheetFormatPr baseColWidth="8" defaultRowHeight="15"/>
  <cols>
    <col width="22" customWidth="1" min="1" max="1"/>
    <col width="28" customWidth="1" min="2" max="2"/>
    <col width="38" customWidth="1" min="3" max="3"/>
    <col width="38" customWidth="1" min="4" max="4"/>
    <col width="28" customWidth="1" min="5" max="5"/>
    <col width="40" customWidth="1" min="6" max="6"/>
  </cols>
  <sheetData>
    <row r="2">
      <c r="A2" s="1" t="inlineStr">
        <is>
          <t>LetzRyd Rental Calculation Flow &amp; Rules</t>
        </is>
      </c>
    </row>
    <row r="3"/>
    <row r="5">
      <c r="A5" s="2" t="inlineStr">
        <is>
          <t>1. Priority Resolution Order (How the Engine Decides Rent)</t>
        </is>
      </c>
    </row>
    <row r="6">
      <c r="A6" s="3" t="inlineStr">
        <is>
          <t>Step / Priority</t>
        </is>
      </c>
      <c r="B6" s="3" t="inlineStr">
        <is>
          <t>Plan Type</t>
        </is>
      </c>
      <c r="C6" s="3" t="inlineStr">
        <is>
          <t>When It Is Checked</t>
        </is>
      </c>
      <c r="D6" s="3" t="inlineStr">
        <is>
          <t>How It Determines Rent</t>
        </is>
      </c>
      <c r="E6" s="3" t="inlineStr">
        <is>
          <t>Trip Dependency</t>
        </is>
      </c>
      <c r="F6" s="3" t="inlineStr">
        <is>
          <t>Real Example</t>
        </is>
      </c>
    </row>
    <row r="7">
      <c r="A7" s="13" t="inlineStr">
        <is>
          <t>Step 1: Priority 1</t>
        </is>
      </c>
      <c r="B7" s="6" t="inlineStr">
        <is>
          <t>Special Deal / Custom Agreement</t>
        </is>
      </c>
      <c r="C7" s="6" t="inlineStr">
        <is>
          <t>Checked FIRST. Triggers whenever the driver or operator has a negotiated rate written in sheet_rental_partners or core_rent.</t>
        </is>
      </c>
      <c r="D7" s="6" t="inlineStr">
        <is>
          <t>Applies the custom daily rent directly. Completely bypasses standard trip slabs and platform menus.</t>
        </is>
      </c>
      <c r="E7" s="5" t="inlineStr">
        <is>
          <t>No trips needed. Rent stays fixed regardless of trip count.</t>
        </is>
      </c>
      <c r="F7" s="6" t="inlineStr">
        <is>
          <t>Mohd Abdul Qadir: WagonR @ ₹970/day, Dzire @ ₹1,070/day. Shaik Kareem: Xcent @ ₹900/day.</t>
        </is>
      </c>
    </row>
    <row r="8">
      <c r="A8" s="14" t="inlineStr">
        <is>
          <t>Step 2A: Priority 2A</t>
        </is>
      </c>
      <c r="B8" s="9" t="inlineStr">
        <is>
          <t>Standard All-Platform Plan</t>
        </is>
      </c>
      <c r="C8" s="9" t="inlineStr">
        <is>
          <t>Checked SECOND if no custom deal exists, and driver is registered as 'All Platform'.</t>
        </is>
      </c>
      <c r="D8" s="9" t="inlineStr">
        <is>
          <t>Driver can drive on Ola, Uber, and Rapido. Uses the fixed menu card rate from sheet_rental_slabs for that city and model.</t>
        </is>
      </c>
      <c r="E8" s="8" t="inlineStr">
        <is>
          <t>No trips needed. Non-Uber trips are not tracked, so rent is flat.</t>
        </is>
      </c>
      <c r="F8" s="9" t="inlineStr">
        <is>
          <t>Standard WagonR driver on All-Platform pays flat ₹1,050/day across BLR, HYD, and MUM.</t>
        </is>
      </c>
    </row>
    <row r="9">
      <c r="A9" s="13" t="inlineStr">
        <is>
          <t>Step 2B: Priority 2B</t>
        </is>
      </c>
      <c r="B9" s="6" t="inlineStr">
        <is>
          <t>Standard Uber Reducing Plan</t>
        </is>
      </c>
      <c r="C9" s="6" t="inlineStr">
        <is>
          <t>Checked SECOND if no custom deal exists, and driver is registered on 'Uber Reducing Rent'.</t>
        </is>
      </c>
      <c r="D9" s="6" t="inlineStr">
        <is>
          <t>Sums completed Uber trips for the week (Mon-Sun). Looks up sheet_rental_slabs for that city and model, applying the earned tier.</t>
        </is>
      </c>
      <c r="E9" s="5" t="inlineStr">
        <is>
          <t>High dependency. Completing more Uber trips moves driver to a cheaper daily rate tier.</t>
        </is>
      </c>
      <c r="F9" s="6" t="inlineStr">
        <is>
          <t>Bangalore WagonR: 0-54 trips = ₹1,050/day; 55-69 trips = ₹950/day; 70+ trips = ₹850/day.</t>
        </is>
      </c>
    </row>
    <row r="10">
      <c r="A10" s="14" t="inlineStr">
        <is>
          <t>Step 3: Priority 3</t>
        </is>
      </c>
      <c r="B10" s="9" t="inlineStr">
        <is>
          <t>System Fallback Rate</t>
        </is>
      </c>
      <c r="C10" s="9" t="inlineStr">
        <is>
          <t>Checked LAST as a safety net if no custom deal exists and no matching slab is found in sheet_rental_slabs.</t>
        </is>
      </c>
      <c r="D10" s="9" t="inlineStr">
        <is>
          <t>Applies default base rate so billing never crashes: WagonR = ₹1,050, Dzire = ₹1,200, EC3/Other = ₹1,400.</t>
        </is>
      </c>
      <c r="E10" s="8" t="inlineStr">
        <is>
          <t>No trips needed. Prevents unbilled days or database errors.</t>
        </is>
      </c>
      <c r="F10" s="9" t="inlineStr">
        <is>
          <t>Unmapped vehicle model safely charges base model rate until ops assigns an official plan.</t>
        </is>
      </c>
    </row>
    <row r="13">
      <c r="A13" s="2" t="inlineStr">
        <is>
          <t>2. City-Level Pricing &amp; Indemnity Rules</t>
        </is>
      </c>
    </row>
    <row r="14">
      <c r="A14" s="3" t="inlineStr">
        <is>
          <t>City</t>
        </is>
      </c>
      <c r="B14" s="3" t="inlineStr">
        <is>
          <t>Supported Models</t>
        </is>
      </c>
      <c r="C14" s="3" t="inlineStr">
        <is>
          <t>Standard Indemnity</t>
        </is>
      </c>
      <c r="D14" s="3" t="inlineStr">
        <is>
          <t>Special Indemnity Exceptions</t>
        </is>
      </c>
      <c r="E14" s="3" t="inlineStr">
        <is>
          <t>All-Platform Flat Rate</t>
        </is>
      </c>
      <c r="F14" s="3" t="inlineStr">
        <is>
          <t>Operational Notes</t>
        </is>
      </c>
    </row>
    <row r="15">
      <c r="A15" s="13" t="inlineStr">
        <is>
          <t>Bengaluru (BLR)</t>
        </is>
      </c>
      <c r="B15" s="6" t="inlineStr">
        <is>
          <t>Maruti Wagonr Tour H3 CNG</t>
        </is>
      </c>
      <c r="C15" s="5" t="inlineStr">
        <is>
          <t>₹30.00 / day</t>
        </is>
      </c>
      <c r="D15" s="6" t="inlineStr">
        <is>
          <t>Nisamudeen K P = ₹15.00/day
Rishad P V = ₹20.00/day</t>
        </is>
      </c>
      <c r="E15" s="6" t="inlineStr">
        <is>
          <t>WagonR: ₹1,050 / day</t>
        </is>
      </c>
      <c r="F15" s="6" t="inlineStr">
        <is>
          <t>Offers distinct rate cards for Individual drivers vs Operator Fleets based on trip thresholds.</t>
        </is>
      </c>
    </row>
    <row r="16">
      <c r="A16" s="14" t="inlineStr">
        <is>
          <t>Hyderabad (HYD)</t>
        </is>
      </c>
      <c r="B16" s="9" t="inlineStr">
        <is>
          <t>Maruti Wagonr, Maruti Dzire, Hyundai Xcent (Retired), EC3</t>
        </is>
      </c>
      <c r="C16" s="8" t="inlineStr">
        <is>
          <t>₹30.00 / day</t>
        </is>
      </c>
      <c r="D16" s="9" t="inlineStr">
        <is>
          <t>Retired Hyundai Xcent fleet = ₹0.00/day
Shaik Kareem = ₹0.00/day</t>
        </is>
      </c>
      <c r="E16" s="9" t="inlineStr">
        <is>
          <t>WagonR: ₹1,050 / day
Dzire: ₹1,200 / day</t>
        </is>
      </c>
      <c r="F16" s="9" t="inlineStr">
        <is>
          <t>Extensive fleet operators with negotiated side-table rates overriding standard cards.</t>
        </is>
      </c>
    </row>
    <row r="17">
      <c r="A17" s="13" t="inlineStr">
        <is>
          <t>Mumbai (MUM)</t>
        </is>
      </c>
      <c r="B17" s="6" t="inlineStr">
        <is>
          <t>Maruti Wagonr Tour H3 CNG</t>
        </is>
      </c>
      <c r="C17" s="5" t="inlineStr">
        <is>
          <t>₹30.00 / day</t>
        </is>
      </c>
      <c r="D17" s="6" t="inlineStr">
        <is>
          <t>Included in weekly hisaab settlement as 'Insurance Amount'</t>
        </is>
      </c>
      <c r="E17" s="6" t="inlineStr">
        <is>
          <t>WagonR: ₹1,050 / day</t>
        </is>
      </c>
      <c r="F17" s="6" t="inlineStr">
        <is>
          <t>Operates primarily on WagonR CNG with 6 dynamic trip reducing tiers (0-49 to 130+).</t>
        </is>
      </c>
    </row>
    <row r="20">
      <c r="A20" s="2" t="inlineStr">
        <is>
          <t>3. Operational Safeguards &amp; Edge Cases</t>
        </is>
      </c>
    </row>
    <row r="21">
      <c r="A21" s="3" t="inlineStr">
        <is>
          <t>Rule / Case</t>
        </is>
      </c>
      <c r="B21" s="3" t="inlineStr">
        <is>
          <t>Operational Scenario</t>
        </is>
      </c>
      <c r="C21" s="3" t="inlineStr">
        <is>
          <t>How the System Handles It</t>
        </is>
      </c>
      <c r="D21" s="3" t="inlineStr">
        <is>
          <t>Business Benefit</t>
        </is>
      </c>
    </row>
    <row r="22">
      <c r="A22" s="14" t="inlineStr">
        <is>
          <t>Multi-Car Operators</t>
        </is>
      </c>
      <c r="B22" s="9" t="inlineStr">
        <is>
          <t>An operator runs 10+ vehicles across different models (e.g. WagonR and Dzire).</t>
        </is>
      </c>
      <c r="C22" s="9" t="inlineStr">
        <is>
          <t>Each vehicle has its own contract row in core_rent tied to vehicle_number. Slabs match both partner_id and vehicle_model.</t>
        </is>
      </c>
      <c r="D22" s="9" t="inlineStr">
        <is>
          <t>Operator is billed accurately per model (e.g. Qadir Dzire = ₹1,070, WagonR = ₹970) with no rate mix-ups.</t>
        </is>
      </c>
    </row>
    <row r="23">
      <c r="A23" s="13" t="inlineStr">
        <is>
          <t>Driver Moonlighting</t>
        </is>
      </c>
      <c r="B23" s="6" t="inlineStr">
        <is>
          <t>An Uber driver splits time driving on Ola or Rapido.</t>
        </is>
      </c>
      <c r="C23" s="6" t="inlineStr">
        <is>
          <t>System only counts Uber trips. Untracked Ola trips keep Uber count low, placing driver in Tier 1 (₹1,050/day).</t>
        </is>
      </c>
      <c r="D23" s="6" t="inlineStr">
        <is>
          <t>Company is protected: driver automatically loses discounts and pays full standard base rent.</t>
        </is>
      </c>
    </row>
    <row r="24">
      <c r="A24" s="14" t="inlineStr">
        <is>
          <t>Mid-Week Plan Freeze</t>
        </is>
      </c>
      <c r="B24" s="9" t="inlineStr">
        <is>
          <t>Driver asks to switch from Uber Reducing to All-Platform on Wednesday.</t>
        </is>
      </c>
      <c r="C24" s="9" t="inlineStr">
        <is>
          <t>Rent does not fluctuate mid-week. Contract changes take effect the following Monday. Weekly settlement uses earned tier.</t>
        </is>
      </c>
      <c r="D24" s="9" t="inlineStr">
        <is>
          <t>Eliminates confusion and disputes with drivers over mid-week recalculations.</t>
        </is>
      </c>
    </row>
    <row r="25">
      <c r="A25" s="13" t="inlineStr">
        <is>
          <t>Maintenance &amp; Garage</t>
        </is>
      </c>
      <c r="B25" s="6" t="inlineStr">
        <is>
          <t>Vehicle spends 2 days in the workshop for repairs.</t>
        </is>
      </c>
      <c r="C25" s="6" t="inlineStr">
        <is>
          <t>Vehicle status is marked 'Maintenance' in sheet_vehicle_status. Engine sets is_billable_day = FALSE for those 2 days.</t>
        </is>
      </c>
      <c r="D25" s="6" t="inlineStr">
        <is>
          <t>Driver is only billed for active on-road days (Rent = ₹0, Indemnity = ₹0 on workshop days).</t>
        </is>
      </c>
    </row>
  </sheetData>
  <mergeCells count="1">
    <mergeCell ref="A2: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E99"/>
  <sheetViews>
    <sheetView showGridLines="1" workbookViewId="0">
      <selection activeCell="A1" sqref="A1"/>
    </sheetView>
  </sheetViews>
  <sheetFormatPr baseColWidth="8" defaultRowHeight="15"/>
  <cols>
    <col width="24" customWidth="1" min="1" max="1"/>
    <col width="16" customWidth="1" min="2" max="2"/>
    <col width="22" customWidth="1" min="3" max="3"/>
    <col width="46" customWidth="1" min="4" max="4"/>
    <col width="38" customWidth="1" min="5" max="5"/>
  </cols>
  <sheetData>
    <row r="2">
      <c r="A2" s="1" t="inlineStr">
        <is>
          <t>Database Schema &amp; Data Dictionary (5 Core Tables)</t>
        </is>
      </c>
    </row>
    <row r="3"/>
    <row r="5">
      <c r="A5" s="15" t="inlineStr">
        <is>
          <t>Table 1: sheet_rental_slabs  (Google Sheet Staging Table (Syncs every 30 mins))</t>
        </is>
      </c>
      <c r="B5" s="11" t="n"/>
      <c r="C5" s="11" t="n"/>
      <c r="D5" s="11" t="n"/>
      <c r="E5" s="11" t="n"/>
    </row>
    <row r="6">
      <c r="A6" s="16" t="inlineStr">
        <is>
          <t>WHAT THIS TABLE IS USED FOR:
This table is the official pricing menu synchronized from the live Google Sheet. It defines weekly trip tiers, daily base rents, and platform rules for each city and car model. The calculation engine queries this table to look up rate cards for standard Uber reducing plans and standard All-Platform plans.</t>
        </is>
      </c>
      <c r="B6" s="11" t="n"/>
      <c r="C6" s="11" t="n"/>
      <c r="D6" s="11" t="n"/>
      <c r="E6" s="11" t="n"/>
    </row>
    <row r="7">
      <c r="A7" s="11" t="n"/>
      <c r="B7" s="11" t="n"/>
      <c r="C7" s="11" t="n"/>
      <c r="D7" s="11" t="n"/>
      <c r="E7" s="11" t="n"/>
    </row>
    <row r="8">
      <c r="A8" s="3" t="inlineStr">
        <is>
          <t>Column Name</t>
        </is>
      </c>
      <c r="B8" s="3" t="inlineStr">
        <is>
          <t>Data Type</t>
        </is>
      </c>
      <c r="C8" s="3" t="inlineStr">
        <is>
          <t>Constraints / Keys</t>
        </is>
      </c>
      <c r="D8" s="3" t="inlineStr">
        <is>
          <t>Description &amp; Purpose (Plain English)</t>
        </is>
      </c>
      <c r="E8" s="3" t="inlineStr">
        <is>
          <t>Business Logic / Example Values</t>
        </is>
      </c>
    </row>
    <row r="9">
      <c r="A9" s="7" t="inlineStr">
        <is>
          <t>slab_id</t>
        </is>
      </c>
      <c r="B9" s="8" t="inlineStr">
        <is>
          <t>SERIAL</t>
        </is>
      </c>
      <c r="C9" s="14" t="inlineStr">
        <is>
          <t>PRIMARY KEY</t>
        </is>
      </c>
      <c r="D9" s="9" t="inlineStr">
        <is>
          <t>Unique numeric ID for each rate card tier.</t>
        </is>
      </c>
      <c r="E9" s="9" t="inlineStr">
        <is>
          <t>1, 2, 3...</t>
        </is>
      </c>
    </row>
    <row r="10">
      <c r="A10" s="4" t="inlineStr">
        <is>
          <t>city</t>
        </is>
      </c>
      <c r="B10" s="5" t="inlineStr">
        <is>
          <t>VARCHAR(64)</t>
        </is>
      </c>
      <c r="C10" s="5" t="inlineStr">
        <is>
          <t>NOT NULL</t>
        </is>
      </c>
      <c r="D10" s="6" t="inlineStr">
        <is>
          <t>Operating city where this rate card applies.</t>
        </is>
      </c>
      <c r="E10" s="4" t="inlineStr">
        <is>
          <t>'Bengaluru', 'Hyderabad', 'Mumbai'</t>
        </is>
      </c>
    </row>
    <row r="11">
      <c r="A11" s="7" t="inlineStr">
        <is>
          <t>vehicle_model</t>
        </is>
      </c>
      <c r="B11" s="8" t="inlineStr">
        <is>
          <t>VARCHAR(128)</t>
        </is>
      </c>
      <c r="C11" s="8" t="inlineStr">
        <is>
          <t>NOT NULL</t>
        </is>
      </c>
      <c r="D11" s="9" t="inlineStr">
        <is>
          <t>Vehicle model name matching vehicle onboarding records.</t>
        </is>
      </c>
      <c r="E11" s="7" t="inlineStr">
        <is>
          <t>'Maruti Wagonr Tour H3 CNG', 'Dzire Tour S CNG'</t>
        </is>
      </c>
    </row>
    <row r="12">
      <c r="A12" s="4" t="inlineStr">
        <is>
          <t>fuel_type</t>
        </is>
      </c>
      <c r="B12" s="5" t="inlineStr">
        <is>
          <t>VARCHAR(32)</t>
        </is>
      </c>
      <c r="C12" s="5" t="inlineStr">
        <is>
          <t>DEFAULT 'CNG'</t>
        </is>
      </c>
      <c r="D12" s="6" t="inlineStr">
        <is>
          <t>Fuel type specification of the vehicle.</t>
        </is>
      </c>
      <c r="E12" s="4" t="inlineStr">
        <is>
          <t>'CNG', 'EV'</t>
        </is>
      </c>
    </row>
    <row r="13">
      <c r="A13" s="7" t="inlineStr">
        <is>
          <t>uber_type</t>
        </is>
      </c>
      <c r="B13" s="8" t="inlineStr">
        <is>
          <t>VARCHAR(32)</t>
        </is>
      </c>
      <c r="C13" s="8" t="inlineStr">
        <is>
          <t>DEFAULT 'TBS'</t>
        </is>
      </c>
      <c r="D13" s="9" t="inlineStr">
        <is>
          <t>Uber operating plan type (TBS = Trip Based, EBS = Earnings Based).</t>
        </is>
      </c>
      <c r="E13" s="7" t="inlineStr">
        <is>
          <t>'TBS', 'EBS'</t>
        </is>
      </c>
    </row>
    <row r="14">
      <c r="A14" s="4" t="inlineStr">
        <is>
          <t>plan_scheme</t>
        </is>
      </c>
      <c r="B14" s="5" t="inlineStr">
        <is>
          <t>VARCHAR(64)</t>
        </is>
      </c>
      <c r="C14" s="5" t="inlineStr">
        <is>
          <t>NOT NULL</t>
        </is>
      </c>
      <c r="D14" s="6" t="inlineStr">
        <is>
          <t>Pricing category: 'Uber Reducing Rent' or 'All Platform'.</t>
        </is>
      </c>
      <c r="E14" s="4" t="inlineStr">
        <is>
          <t>'Uber Reducing Rent', 'All Platform'</t>
        </is>
      </c>
    </row>
    <row r="15">
      <c r="A15" s="7" t="inlineStr">
        <is>
          <t>driver_type</t>
        </is>
      </c>
      <c r="B15" s="8" t="inlineStr">
        <is>
          <t>VARCHAR(32)</t>
        </is>
      </c>
      <c r="C15" s="8" t="inlineStr">
        <is>
          <t>DEFAULT 'All'</t>
        </is>
      </c>
      <c r="D15" s="9" t="inlineStr">
        <is>
          <t>Driver category in BLR: 'Individual' or 'Operator Fleet'.</t>
        </is>
      </c>
      <c r="E15" s="7" t="inlineStr">
        <is>
          <t>'All', 'Individual', 'Operator Fleet'</t>
        </is>
      </c>
    </row>
    <row r="16">
      <c r="A16" s="4" t="inlineStr">
        <is>
          <t>trip_slab_label</t>
        </is>
      </c>
      <c r="B16" s="5" t="inlineStr">
        <is>
          <t>VARCHAR(64)</t>
        </is>
      </c>
      <c r="C16" s="5" t="inlineStr">
        <is>
          <t>NOT NULL</t>
        </is>
      </c>
      <c r="D16" s="6" t="inlineStr">
        <is>
          <t>Human-readable label for the trip range.</t>
        </is>
      </c>
      <c r="E16" s="4" t="inlineStr">
        <is>
          <t>'0-49', '50-69', '70+', '0+'</t>
        </is>
      </c>
    </row>
    <row r="17">
      <c r="A17" s="7" t="inlineStr">
        <is>
          <t>min_trips</t>
        </is>
      </c>
      <c r="B17" s="8" t="inlineStr">
        <is>
          <t>INTEGER</t>
        </is>
      </c>
      <c r="C17" s="8" t="inlineStr">
        <is>
          <t>NOT NULL</t>
        </is>
      </c>
      <c r="D17" s="9" t="inlineStr">
        <is>
          <t>Minimum completed trips needed to qualify for this rate.</t>
        </is>
      </c>
      <c r="E17" s="9" t="inlineStr">
        <is>
          <t>0, 50, 70, 90</t>
        </is>
      </c>
    </row>
    <row r="18">
      <c r="A18" s="4" t="inlineStr">
        <is>
          <t>max_trips</t>
        </is>
      </c>
      <c r="B18" s="5" t="inlineStr">
        <is>
          <t>INTEGER</t>
        </is>
      </c>
      <c r="C18" s="5" t="inlineStr">
        <is>
          <t>NULLABLE</t>
        </is>
      </c>
      <c r="D18" s="6" t="inlineStr">
        <is>
          <t>Maximum trips for this tier (NULL for top open-ended tier).</t>
        </is>
      </c>
      <c r="E18" s="6" t="inlineStr">
        <is>
          <t>49, 69, 89, NULL</t>
        </is>
      </c>
    </row>
    <row r="19">
      <c r="A19" s="7" t="inlineStr">
        <is>
          <t>daily_rent</t>
        </is>
      </c>
      <c r="B19" s="8" t="inlineStr">
        <is>
          <t>NUMERIC(10,2)</t>
        </is>
      </c>
      <c r="C19" s="8" t="inlineStr">
        <is>
          <t>NOT NULL</t>
        </is>
      </c>
      <c r="D19" s="9" t="inlineStr">
        <is>
          <t>Base daily rental fee charged to the driver.</t>
        </is>
      </c>
      <c r="E19" s="9" t="inlineStr">
        <is>
          <t>1050.00, 950.00, 850.00</t>
        </is>
      </c>
    </row>
    <row r="20">
      <c r="A20" s="4" t="inlineStr">
        <is>
          <t>daily_indemnity</t>
        </is>
      </c>
      <c r="B20" s="5" t="inlineStr">
        <is>
          <t>NUMERIC(10,2)</t>
        </is>
      </c>
      <c r="C20" s="5" t="inlineStr">
        <is>
          <t>DEFAULT 0.00</t>
        </is>
      </c>
      <c r="D20" s="6" t="inlineStr">
        <is>
          <t>Indemnity in rate card (standardized to 0.00; set in contract).</t>
        </is>
      </c>
      <c r="E20" s="6" t="inlineStr">
        <is>
          <t>0.00</t>
        </is>
      </c>
    </row>
    <row r="21">
      <c r="A21" s="7" t="inlineStr">
        <is>
          <t>platform</t>
        </is>
      </c>
      <c r="B21" s="8" t="inlineStr">
        <is>
          <t>VARCHAR(64)</t>
        </is>
      </c>
      <c r="C21" s="8" t="inlineStr">
        <is>
          <t>DEFAULT 'Uber'</t>
        </is>
      </c>
      <c r="D21" s="9" t="inlineStr">
        <is>
          <t>Target platform for this pricing tier.</t>
        </is>
      </c>
      <c r="E21" s="7" t="inlineStr">
        <is>
          <t>'Uber', 'All Platform'</t>
        </is>
      </c>
    </row>
    <row r="22">
      <c r="A22" s="4" t="inlineStr">
        <is>
          <t>pass_on_incentive</t>
        </is>
      </c>
      <c r="B22" s="5" t="inlineStr">
        <is>
          <t>VARCHAR(16)</t>
        </is>
      </c>
      <c r="C22" s="5" t="inlineStr">
        <is>
          <t>DEFAULT 'no'</t>
        </is>
      </c>
      <c r="D22" s="6" t="inlineStr">
        <is>
          <t>Whether extra platform trip bonuses pass to driver.</t>
        </is>
      </c>
      <c r="E22" s="4" t="inlineStr">
        <is>
          <t>'yes', 'no'</t>
        </is>
      </c>
    </row>
    <row r="23">
      <c r="A23" s="7" t="inlineStr">
        <is>
          <t>last_synced_at</t>
        </is>
      </c>
      <c r="B23" s="8" t="inlineStr">
        <is>
          <t>TIMESTAMP</t>
        </is>
      </c>
      <c r="C23" s="8" t="inlineStr">
        <is>
          <t>DEFAULT NOW()</t>
        </is>
      </c>
      <c r="D23" s="9" t="inlineStr">
        <is>
          <t>Timestamp when this record was updated from Google Sheet.</t>
        </is>
      </c>
      <c r="E23" s="7" t="inlineStr">
        <is>
          <t>'2026-09-11 12:00:00'</t>
        </is>
      </c>
    </row>
    <row r="27">
      <c r="A27" s="15" t="inlineStr">
        <is>
          <t>Table 2: sheet_rental_partners  (Google Sheet Staging Table (Syncs every 30 mins))</t>
        </is>
      </c>
      <c r="B27" s="11" t="n"/>
      <c r="C27" s="11" t="n"/>
      <c r="D27" s="11" t="n"/>
      <c r="E27" s="11" t="n"/>
    </row>
    <row r="28">
      <c r="A28" s="16" t="inlineStr">
        <is>
          <t>WHAT THIS TABLE IS USED FOR:
This table stores driver-partner agreements synced from the Google Sheet. It captures individual drivers, multi-car operators, platform bindings, custom negotiated flat daily rents, and special indemnity terms (like Nisamudeen ₹15, Shaik Kareem ₹0). Used during contract creation to resolve custom deals.</t>
        </is>
      </c>
      <c r="B28" s="11" t="n"/>
      <c r="C28" s="11" t="n"/>
      <c r="D28" s="11" t="n"/>
      <c r="E28" s="11" t="n"/>
    </row>
    <row r="29">
      <c r="A29" s="11" t="n"/>
      <c r="B29" s="11" t="n"/>
      <c r="C29" s="11" t="n"/>
      <c r="D29" s="11" t="n"/>
      <c r="E29" s="11" t="n"/>
    </row>
    <row r="30">
      <c r="A30" s="3" t="inlineStr">
        <is>
          <t>Column Name</t>
        </is>
      </c>
      <c r="B30" s="3" t="inlineStr">
        <is>
          <t>Data Type</t>
        </is>
      </c>
      <c r="C30" s="3" t="inlineStr">
        <is>
          <t>Constraints / Keys</t>
        </is>
      </c>
      <c r="D30" s="3" t="inlineStr">
        <is>
          <t>Description &amp; Purpose (Plain English)</t>
        </is>
      </c>
      <c r="E30" s="3" t="inlineStr">
        <is>
          <t>Business Logic / Example Values</t>
        </is>
      </c>
    </row>
    <row r="31">
      <c r="A31" s="7" t="inlineStr">
        <is>
          <t>partner_code</t>
        </is>
      </c>
      <c r="B31" s="8" t="inlineStr">
        <is>
          <t>VARCHAR(64)</t>
        </is>
      </c>
      <c r="C31" s="14" t="inlineStr">
        <is>
          <t>PRIMARY KEY</t>
        </is>
      </c>
      <c r="D31" s="9" t="inlineStr">
        <is>
          <t>Unique partner identifier assigned during onboarding.</t>
        </is>
      </c>
      <c r="E31" s="7" t="inlineStr">
        <is>
          <t>'LETZHYDIP9885838038', 'LETZBLRIP9036461336'</t>
        </is>
      </c>
    </row>
    <row r="32">
      <c r="A32" s="4" t="inlineStr">
        <is>
          <t>vendor_name</t>
        </is>
      </c>
      <c r="B32" s="5" t="inlineStr">
        <is>
          <t>VARCHAR(128)</t>
        </is>
      </c>
      <c r="C32" s="5" t="inlineStr">
        <is>
          <t>NOT NULL</t>
        </is>
      </c>
      <c r="D32" s="6" t="inlineStr">
        <is>
          <t>Full legal or commercial name of driver or fleet operator.</t>
        </is>
      </c>
      <c r="E32" s="4" t="inlineStr">
        <is>
          <t>'Shaik Kareem', 'Mohd Abdul Qadir', 'Gaadylo'</t>
        </is>
      </c>
    </row>
    <row r="33">
      <c r="A33" s="7" t="inlineStr">
        <is>
          <t>city</t>
        </is>
      </c>
      <c r="B33" s="8" t="inlineStr">
        <is>
          <t>VARCHAR(64)</t>
        </is>
      </c>
      <c r="C33" s="8" t="inlineStr">
        <is>
          <t>NOT NULL</t>
        </is>
      </c>
      <c r="D33" s="9" t="inlineStr">
        <is>
          <t>City where the partner operates.</t>
        </is>
      </c>
      <c r="E33" s="7" t="inlineStr">
        <is>
          <t>'Hyderabad', 'Bengaluru', 'Mumbai'</t>
        </is>
      </c>
    </row>
    <row r="34">
      <c r="A34" s="4" t="inlineStr">
        <is>
          <t>operator_type</t>
        </is>
      </c>
      <c r="B34" s="5" t="inlineStr">
        <is>
          <t>VARCHAR(32)</t>
        </is>
      </c>
      <c r="C34" s="5" t="inlineStr">
        <is>
          <t>DEFAULT 'Individual'</t>
        </is>
      </c>
      <c r="D34" s="6" t="inlineStr">
        <is>
          <t>Partner classification: 'Individual' (1 car) or 'Operator Fleet' (multi-car).</t>
        </is>
      </c>
      <c r="E34" s="4" t="inlineStr">
        <is>
          <t>'Individual', 'Operator Fleet'</t>
        </is>
      </c>
    </row>
    <row r="35">
      <c r="A35" s="7" t="inlineStr">
        <is>
          <t>platform</t>
        </is>
      </c>
      <c r="B35" s="8" t="inlineStr">
        <is>
          <t>VARCHAR(64)</t>
        </is>
      </c>
      <c r="C35" s="8" t="inlineStr">
        <is>
          <t>NULLABLE</t>
        </is>
      </c>
      <c r="D35" s="9" t="inlineStr">
        <is>
          <t>Agreed platform binding from onboarding.</t>
        </is>
      </c>
      <c r="E35" s="7" t="inlineStr">
        <is>
          <t>'Uber - TBS', 'All Platform'</t>
        </is>
      </c>
    </row>
    <row r="36">
      <c r="A36" s="4" t="inlineStr">
        <is>
          <t>plan_type_hisaab</t>
        </is>
      </c>
      <c r="B36" s="5" t="inlineStr">
        <is>
          <t>VARCHAR(64)</t>
        </is>
      </c>
      <c r="C36" s="5" t="inlineStr">
        <is>
          <t>NULLABLE</t>
        </is>
      </c>
      <c r="D36" s="6" t="inlineStr">
        <is>
          <t>Settlement plan categorization used in hisaab sheets.</t>
        </is>
      </c>
      <c r="E36" s="4" t="inlineStr">
        <is>
          <t>'Reducing Rental', 'Fixed', 'All Platform'</t>
        </is>
      </c>
    </row>
    <row r="37">
      <c r="A37" s="7" t="inlineStr">
        <is>
          <t>custom_daily_rent</t>
        </is>
      </c>
      <c r="B37" s="8" t="inlineStr">
        <is>
          <t>NUMERIC(10,2)</t>
        </is>
      </c>
      <c r="C37" s="8" t="inlineStr">
        <is>
          <t>NULLABLE</t>
        </is>
      </c>
      <c r="D37" s="9" t="inlineStr">
        <is>
          <t>Negotiated daily rent overriding standard rate cards.</t>
        </is>
      </c>
      <c r="E37" s="9" t="inlineStr">
        <is>
          <t>900.00, 970.00, 1070.00, NULL</t>
        </is>
      </c>
    </row>
    <row r="38">
      <c r="A38" s="4" t="inlineStr">
        <is>
          <t>custom_daily_indemnity</t>
        </is>
      </c>
      <c r="B38" s="5" t="inlineStr">
        <is>
          <t>NUMERIC(10,2)</t>
        </is>
      </c>
      <c r="C38" s="5" t="inlineStr">
        <is>
          <t>NULLABLE</t>
        </is>
      </c>
      <c r="D38" s="6" t="inlineStr">
        <is>
          <t>Negotiated daily indemnity overriding standard ₹30 fee.</t>
        </is>
      </c>
      <c r="E38" s="6" t="inlineStr">
        <is>
          <t>0.00, 15.00, 20.00, NULL</t>
        </is>
      </c>
    </row>
    <row r="39">
      <c r="A39" s="7" t="inlineStr">
        <is>
          <t>notes</t>
        </is>
      </c>
      <c r="B39" s="8" t="inlineStr">
        <is>
          <t>TEXT</t>
        </is>
      </c>
      <c r="C39" s="8" t="inlineStr">
        <is>
          <t>NULLABLE</t>
        </is>
      </c>
      <c r="D39" s="9" t="inlineStr">
        <is>
          <t>Operational remarks, vehicle models, or special contract conditions.</t>
        </is>
      </c>
      <c r="E39" s="7" t="inlineStr">
        <is>
          <t>'Negotiated Dzire=1070, WagonR=970'</t>
        </is>
      </c>
    </row>
    <row r="40">
      <c r="A40" s="4" t="inlineStr">
        <is>
          <t>last_synced_at</t>
        </is>
      </c>
      <c r="B40" s="5" t="inlineStr">
        <is>
          <t>TIMESTAMP</t>
        </is>
      </c>
      <c r="C40" s="5" t="inlineStr">
        <is>
          <t>DEFAULT NOW()</t>
        </is>
      </c>
      <c r="D40" s="6" t="inlineStr">
        <is>
          <t>Timestamp when partner record was synced from Google Sheet.</t>
        </is>
      </c>
      <c r="E40" s="4" t="inlineStr">
        <is>
          <t>'2026-09-11 12:00:00'</t>
        </is>
      </c>
    </row>
    <row r="44">
      <c r="A44" s="15" t="inlineStr">
        <is>
          <t>Table 3: core_rent  (Master Contract Table (PostgreSQL Master Agreement))</t>
        </is>
      </c>
      <c r="B44" s="11" t="n"/>
      <c r="C44" s="11" t="n"/>
      <c r="D44" s="11" t="n"/>
      <c r="E44" s="11" t="n"/>
    </row>
    <row r="45">
      <c r="A45" s="16" t="inlineStr">
        <is>
          <t>WHAT THIS TABLE IS USED FOR:
This is the single source of truth for all vehicle rental contracts. It binds each vehicle registration number to an active partner, plan scheme, custom daily rent override, and daily indemnity fee. The daily calculation engine reads this table to determine what rules and rates apply to every vehicle.</t>
        </is>
      </c>
      <c r="B45" s="11" t="n"/>
      <c r="C45" s="11" t="n"/>
      <c r="D45" s="11" t="n"/>
      <c r="E45" s="11" t="n"/>
    </row>
    <row r="46">
      <c r="A46" s="11" t="n"/>
      <c r="B46" s="11" t="n"/>
      <c r="C46" s="11" t="n"/>
      <c r="D46" s="11" t="n"/>
      <c r="E46" s="11" t="n"/>
    </row>
    <row r="47">
      <c r="A47" s="3" t="inlineStr">
        <is>
          <t>Column Name</t>
        </is>
      </c>
      <c r="B47" s="3" t="inlineStr">
        <is>
          <t>Data Type</t>
        </is>
      </c>
      <c r="C47" s="3" t="inlineStr">
        <is>
          <t>Constraints / Keys</t>
        </is>
      </c>
      <c r="D47" s="3" t="inlineStr">
        <is>
          <t>Description &amp; Purpose (Plain English)</t>
        </is>
      </c>
      <c r="E47" s="3" t="inlineStr">
        <is>
          <t>Business Logic / Example Values</t>
        </is>
      </c>
    </row>
    <row r="48">
      <c r="A48" s="7" t="inlineStr">
        <is>
          <t>rent_id</t>
        </is>
      </c>
      <c r="B48" s="8" t="inlineStr">
        <is>
          <t>SERIAL</t>
        </is>
      </c>
      <c r="C48" s="14" t="inlineStr">
        <is>
          <t>PRIMARY KEY</t>
        </is>
      </c>
      <c r="D48" s="9" t="inlineStr">
        <is>
          <t>Unique numeric identifier for each rental contract.</t>
        </is>
      </c>
      <c r="E48" s="9" t="inlineStr">
        <is>
          <t>101, 102, 103...</t>
        </is>
      </c>
    </row>
    <row r="49">
      <c r="A49" s="4" t="inlineStr">
        <is>
          <t>vehicle_number</t>
        </is>
      </c>
      <c r="B49" s="5" t="inlineStr">
        <is>
          <t>VARCHAR(32)</t>
        </is>
      </c>
      <c r="C49" s="5" t="inlineStr">
        <is>
          <t>NOT NULL</t>
        </is>
      </c>
      <c r="D49" s="6" t="inlineStr">
        <is>
          <t>Official registration plate number of the vehicle.</t>
        </is>
      </c>
      <c r="E49" s="4" t="inlineStr">
        <is>
          <t>'TS09UA1234', 'KA01MJ5678'</t>
        </is>
      </c>
    </row>
    <row r="50">
      <c r="A50" s="7" t="inlineStr">
        <is>
          <t>partner_id</t>
        </is>
      </c>
      <c r="B50" s="8" t="inlineStr">
        <is>
          <t>VARCHAR(64)</t>
        </is>
      </c>
      <c r="C50" s="8" t="inlineStr">
        <is>
          <t>NOT NULL</t>
        </is>
      </c>
      <c r="D50" s="9" t="inlineStr">
        <is>
          <t>Partner code holding the active agreement for this vehicle.</t>
        </is>
      </c>
      <c r="E50" s="7" t="inlineStr">
        <is>
          <t>'LETZHYDIP9885838038'</t>
        </is>
      </c>
    </row>
    <row r="51">
      <c r="A51" s="4" t="inlineStr">
        <is>
          <t>city</t>
        </is>
      </c>
      <c r="B51" s="5" t="inlineStr">
        <is>
          <t>VARCHAR(64)</t>
        </is>
      </c>
      <c r="C51" s="5" t="inlineStr">
        <is>
          <t>NOT NULL</t>
        </is>
      </c>
      <c r="D51" s="6" t="inlineStr">
        <is>
          <t>City where the vehicle is deployed.</t>
        </is>
      </c>
      <c r="E51" s="4" t="inlineStr">
        <is>
          <t>'Bengaluru', 'Hyderabad', 'Mumbai'</t>
        </is>
      </c>
    </row>
    <row r="52">
      <c r="A52" s="7" t="inlineStr">
        <is>
          <t>vehicle_model</t>
        </is>
      </c>
      <c r="B52" s="8" t="inlineStr">
        <is>
          <t>VARCHAR(128)</t>
        </is>
      </c>
      <c r="C52" s="8" t="inlineStr">
        <is>
          <t>NOT NULL</t>
        </is>
      </c>
      <c r="D52" s="9" t="inlineStr">
        <is>
          <t>Vehicle model matching onboarding specifications.</t>
        </is>
      </c>
      <c r="E52" s="7" t="inlineStr">
        <is>
          <t>'Maruti Wagonr Tour H3 CNG', 'Dzire Tour S CNG'</t>
        </is>
      </c>
    </row>
    <row r="53">
      <c r="A53" s="4" t="inlineStr">
        <is>
          <t>plan_scheme</t>
        </is>
      </c>
      <c r="B53" s="5" t="inlineStr">
        <is>
          <t>VARCHAR(64)</t>
        </is>
      </c>
      <c r="C53" s="5" t="inlineStr">
        <is>
          <t>NOT NULL</t>
        </is>
      </c>
      <c r="D53" s="6" t="inlineStr">
        <is>
          <t>Active plan scheme: 'Uber Reducing Rent' or 'All Platform Flat'.</t>
        </is>
      </c>
      <c r="E53" s="4" t="inlineStr">
        <is>
          <t>'Uber Reducing Rent', 'All Platform Flat'</t>
        </is>
      </c>
    </row>
    <row r="54">
      <c r="A54" s="7" t="inlineStr">
        <is>
          <t>custom_daily_rent</t>
        </is>
      </c>
      <c r="B54" s="8" t="inlineStr">
        <is>
          <t>NUMERIC(10,2)</t>
        </is>
      </c>
      <c r="C54" s="8" t="inlineStr">
        <is>
          <t>NULLABLE</t>
        </is>
      </c>
      <c r="D54" s="9" t="inlineStr">
        <is>
          <t>Priority 1 custom rent override. If set, bypasses trip slabs.</t>
        </is>
      </c>
      <c r="E54" s="9" t="inlineStr">
        <is>
          <t>970.00, 1050.00, 1070.00, NULL</t>
        </is>
      </c>
    </row>
    <row r="55">
      <c r="A55" s="4" t="inlineStr">
        <is>
          <t>custom_daily_indemnity</t>
        </is>
      </c>
      <c r="B55" s="5" t="inlineStr">
        <is>
          <t>NUMERIC(10,2)</t>
        </is>
      </c>
      <c r="C55" s="5" t="inlineStr">
        <is>
          <t>NOT NULL DEFAULT 30.00</t>
        </is>
      </c>
      <c r="D55" s="6" t="inlineStr">
        <is>
          <t>Contractual daily indemnity fee charged for this vehicle.</t>
        </is>
      </c>
      <c r="E55" s="6" t="inlineStr">
        <is>
          <t>30.00 (Standard), 0.00 (Xcent/Kareem), 15.00 (Nisamudeen)</t>
        </is>
      </c>
    </row>
    <row r="56">
      <c r="A56" s="7" t="inlineStr">
        <is>
          <t>effective_from</t>
        </is>
      </c>
      <c r="B56" s="8" t="inlineStr">
        <is>
          <t>DATE</t>
        </is>
      </c>
      <c r="C56" s="8" t="inlineStr">
        <is>
          <t>NOT NULL</t>
        </is>
      </c>
      <c r="D56" s="9" t="inlineStr">
        <is>
          <t>Start date when this contract and pricing becomes active.</t>
        </is>
      </c>
      <c r="E56" s="7" t="inlineStr">
        <is>
          <t>'2026-01-01'</t>
        </is>
      </c>
    </row>
    <row r="57">
      <c r="A57" s="4" t="inlineStr">
        <is>
          <t>effective_to</t>
        </is>
      </c>
      <c r="B57" s="5" t="inlineStr">
        <is>
          <t>DATE</t>
        </is>
      </c>
      <c r="C57" s="5" t="inlineStr">
        <is>
          <t>NOT NULL DEFAULT '2099-12-31'</t>
        </is>
      </c>
      <c r="D57" s="6" t="inlineStr">
        <is>
          <t>Expiry date when this contract ends.</t>
        </is>
      </c>
      <c r="E57" s="4" t="inlineStr">
        <is>
          <t>'2099-12-31'</t>
        </is>
      </c>
    </row>
    <row r="58">
      <c r="A58" s="7" t="inlineStr">
        <is>
          <t>is_active</t>
        </is>
      </c>
      <c r="B58" s="8" t="inlineStr">
        <is>
          <t>BOOLEAN</t>
        </is>
      </c>
      <c r="C58" s="8" t="inlineStr">
        <is>
          <t>NOT NULL DEFAULT TRUE</t>
        </is>
      </c>
      <c r="D58" s="9" t="inlineStr">
        <is>
          <t>Whether this contract is currently active for daily billing.</t>
        </is>
      </c>
      <c r="E58" s="9" t="inlineStr">
        <is>
          <t>TRUE, FALSE</t>
        </is>
      </c>
    </row>
    <row r="59">
      <c r="A59" s="4" t="inlineStr">
        <is>
          <t>created_at</t>
        </is>
      </c>
      <c r="B59" s="5" t="inlineStr">
        <is>
          <t>TIMESTAMP</t>
        </is>
      </c>
      <c r="C59" s="5" t="inlineStr">
        <is>
          <t>DEFAULT NOW()</t>
        </is>
      </c>
      <c r="D59" s="6" t="inlineStr">
        <is>
          <t>System timestamp when contract record was created.</t>
        </is>
      </c>
      <c r="E59" s="4" t="inlineStr">
        <is>
          <t>'2026-09-11 10:00:00'</t>
        </is>
      </c>
    </row>
    <row r="60">
      <c r="A60" s="7" t="inlineStr">
        <is>
          <t>updated_at</t>
        </is>
      </c>
      <c r="B60" s="8" t="inlineStr">
        <is>
          <t>TIMESTAMP</t>
        </is>
      </c>
      <c r="C60" s="8" t="inlineStr">
        <is>
          <t>DEFAULT NOW()</t>
        </is>
      </c>
      <c r="D60" s="9" t="inlineStr">
        <is>
          <t>System timestamp when contract was last modified.</t>
        </is>
      </c>
      <c r="E60" s="7" t="inlineStr">
        <is>
          <t>'2026-09-11 12:00:00'</t>
        </is>
      </c>
    </row>
    <row r="64">
      <c r="A64" s="15" t="inlineStr">
        <is>
          <t>Table 4: core_rent_logs  (Audit Trail Table (Database Trigger-Driven))</t>
        </is>
      </c>
      <c r="B64" s="11" t="n"/>
      <c r="C64" s="11" t="n"/>
      <c r="D64" s="11" t="n"/>
      <c r="E64" s="11" t="n"/>
    </row>
    <row r="65">
      <c r="A65" s="16" t="inlineStr">
        <is>
          <t>WHAT THIS TABLE IS USED FOR:
This is an append-only audit trail automatically populated by database triggers whenever core_rent is inserted, updated, or terminated. It records the old rate, new rate, effective timestamps, change reason, and who made the change. Ensures 100% financial compliance and contract change tracking.</t>
        </is>
      </c>
      <c r="B65" s="11" t="n"/>
      <c r="C65" s="11" t="n"/>
      <c r="D65" s="11" t="n"/>
      <c r="E65" s="11" t="n"/>
    </row>
    <row r="66">
      <c r="A66" s="11" t="n"/>
      <c r="B66" s="11" t="n"/>
      <c r="C66" s="11" t="n"/>
      <c r="D66" s="11" t="n"/>
      <c r="E66" s="11" t="n"/>
    </row>
    <row r="67">
      <c r="A67" s="3" t="inlineStr">
        <is>
          <t>Column Name</t>
        </is>
      </c>
      <c r="B67" s="3" t="inlineStr">
        <is>
          <t>Data Type</t>
        </is>
      </c>
      <c r="C67" s="3" t="inlineStr">
        <is>
          <t>Constraints / Keys</t>
        </is>
      </c>
      <c r="D67" s="3" t="inlineStr">
        <is>
          <t>Description &amp; Purpose (Plain English)</t>
        </is>
      </c>
      <c r="E67" s="3" t="inlineStr">
        <is>
          <t>Business Logic / Example Values</t>
        </is>
      </c>
    </row>
    <row r="68">
      <c r="A68" s="7" t="inlineStr">
        <is>
          <t>log_id</t>
        </is>
      </c>
      <c r="B68" s="8" t="inlineStr">
        <is>
          <t>SERIAL</t>
        </is>
      </c>
      <c r="C68" s="14" t="inlineStr">
        <is>
          <t>PRIMARY KEY</t>
        </is>
      </c>
      <c r="D68" s="9" t="inlineStr">
        <is>
          <t>Unique audit event log identifier.</t>
        </is>
      </c>
      <c r="E68" s="9" t="inlineStr">
        <is>
          <t>501, 502, 503...</t>
        </is>
      </c>
    </row>
    <row r="69">
      <c r="A69" s="4" t="inlineStr">
        <is>
          <t>rent_id</t>
        </is>
      </c>
      <c r="B69" s="5" t="inlineStr">
        <is>
          <t>INTEGER</t>
        </is>
      </c>
      <c r="C69" s="5" t="inlineStr">
        <is>
          <t>NOT NULL (FK)</t>
        </is>
      </c>
      <c r="D69" s="6" t="inlineStr">
        <is>
          <t>Reference to the core_rent contract that was modified.</t>
        </is>
      </c>
      <c r="E69" s="6" t="inlineStr">
        <is>
          <t>101</t>
        </is>
      </c>
    </row>
    <row r="70">
      <c r="A70" s="7" t="inlineStr">
        <is>
          <t>vehicle_number</t>
        </is>
      </c>
      <c r="B70" s="8" t="inlineStr">
        <is>
          <t>VARCHAR(32)</t>
        </is>
      </c>
      <c r="C70" s="8" t="inlineStr">
        <is>
          <t>NOT NULL</t>
        </is>
      </c>
      <c r="D70" s="9" t="inlineStr">
        <is>
          <t>Registration number of the vehicle.</t>
        </is>
      </c>
      <c r="E70" s="7" t="inlineStr">
        <is>
          <t>'TS09UA1234'</t>
        </is>
      </c>
    </row>
    <row r="71">
      <c r="A71" s="4" t="inlineStr">
        <is>
          <t>partner_id</t>
        </is>
      </c>
      <c r="B71" s="5" t="inlineStr">
        <is>
          <t>VARCHAR(64)</t>
        </is>
      </c>
      <c r="C71" s="5" t="inlineStr">
        <is>
          <t>NOT NULL</t>
        </is>
      </c>
      <c r="D71" s="6" t="inlineStr">
        <is>
          <t>Partner code associated with the contract.</t>
        </is>
      </c>
      <c r="E71" s="4" t="inlineStr">
        <is>
          <t>'LETZHYDIP9885838038'</t>
        </is>
      </c>
    </row>
    <row r="72">
      <c r="A72" s="7" t="inlineStr">
        <is>
          <t>old_plan_scheme</t>
        </is>
      </c>
      <c r="B72" s="8" t="inlineStr">
        <is>
          <t>VARCHAR(64)</t>
        </is>
      </c>
      <c r="C72" s="8" t="inlineStr">
        <is>
          <t>NULLABLE</t>
        </is>
      </c>
      <c r="D72" s="9" t="inlineStr">
        <is>
          <t>Previous plan scheme before the modification.</t>
        </is>
      </c>
      <c r="E72" s="7" t="inlineStr">
        <is>
          <t>'Uber Reducing Rent'</t>
        </is>
      </c>
    </row>
    <row r="73">
      <c r="A73" s="4" t="inlineStr">
        <is>
          <t>new_plan_scheme</t>
        </is>
      </c>
      <c r="B73" s="5" t="inlineStr">
        <is>
          <t>VARCHAR(64)</t>
        </is>
      </c>
      <c r="C73" s="5" t="inlineStr">
        <is>
          <t>NOT NULL</t>
        </is>
      </c>
      <c r="D73" s="6" t="inlineStr">
        <is>
          <t>New plan scheme being activated.</t>
        </is>
      </c>
      <c r="E73" s="4" t="inlineStr">
        <is>
          <t>'All Platform Flat'</t>
        </is>
      </c>
    </row>
    <row r="74">
      <c r="A74" s="7" t="inlineStr">
        <is>
          <t>old_daily_rent</t>
        </is>
      </c>
      <c r="B74" s="8" t="inlineStr">
        <is>
          <t>NUMERIC(10,2)</t>
        </is>
      </c>
      <c r="C74" s="8" t="inlineStr">
        <is>
          <t>NULLABLE</t>
        </is>
      </c>
      <c r="D74" s="9" t="inlineStr">
        <is>
          <t>Previous custom daily rent before the update.</t>
        </is>
      </c>
      <c r="E74" s="9" t="inlineStr">
        <is>
          <t>1050.00</t>
        </is>
      </c>
    </row>
    <row r="75">
      <c r="A75" s="4" t="inlineStr">
        <is>
          <t>new_daily_rent</t>
        </is>
      </c>
      <c r="B75" s="5" t="inlineStr">
        <is>
          <t>NUMERIC(10,2)</t>
        </is>
      </c>
      <c r="C75" s="5" t="inlineStr">
        <is>
          <t>NULLABLE</t>
        </is>
      </c>
      <c r="D75" s="6" t="inlineStr">
        <is>
          <t>New custom daily rent assigned to the contract.</t>
        </is>
      </c>
      <c r="E75" s="6" t="inlineStr">
        <is>
          <t>970.00</t>
        </is>
      </c>
    </row>
    <row r="76">
      <c r="A76" s="7" t="inlineStr">
        <is>
          <t>change_reason</t>
        </is>
      </c>
      <c r="B76" s="8" t="inlineStr">
        <is>
          <t>TEXT</t>
        </is>
      </c>
      <c r="C76" s="8" t="inlineStr">
        <is>
          <t>NULLABLE</t>
        </is>
      </c>
      <c r="D76" s="9" t="inlineStr">
        <is>
          <t>Operational explanation for why the contract was modified.</t>
        </is>
      </c>
      <c r="E76" s="7" t="inlineStr">
        <is>
          <t>'Driver switched to All-Platform', 'Initial Seed'</t>
        </is>
      </c>
    </row>
    <row r="77">
      <c r="A77" s="4" t="inlineStr">
        <is>
          <t>changed_by</t>
        </is>
      </c>
      <c r="B77" s="5" t="inlineStr">
        <is>
          <t>VARCHAR(64)</t>
        </is>
      </c>
      <c r="C77" s="5" t="inlineStr">
        <is>
          <t>DEFAULT 'system'</t>
        </is>
      </c>
      <c r="D77" s="6" t="inlineStr">
        <is>
          <t>User or background process that executed the modification.</t>
        </is>
      </c>
      <c r="E77" s="4" t="inlineStr">
        <is>
          <t>'system', 'anurag@letzryd.com'</t>
        </is>
      </c>
    </row>
    <row r="78">
      <c r="A78" s="7" t="inlineStr">
        <is>
          <t>logged_at</t>
        </is>
      </c>
      <c r="B78" s="8" t="inlineStr">
        <is>
          <t>TIMESTAMP</t>
        </is>
      </c>
      <c r="C78" s="8" t="inlineStr">
        <is>
          <t>DEFAULT NOW()</t>
        </is>
      </c>
      <c r="D78" s="9" t="inlineStr">
        <is>
          <t>Precise timestamp when the audit log was recorded.</t>
        </is>
      </c>
      <c r="E78" s="7" t="inlineStr">
        <is>
          <t>'2026-09-11 12:30:15'</t>
        </is>
      </c>
    </row>
    <row r="82">
      <c r="A82" s="15" t="inlineStr">
        <is>
          <t>Table 5: daily_rent_log  (Daily Settlement Ledger Table)</t>
        </is>
      </c>
      <c r="B82" s="11" t="n"/>
      <c r="C82" s="11" t="n"/>
      <c r="D82" s="11" t="n"/>
      <c r="E82" s="11" t="n"/>
    </row>
    <row r="83">
      <c r="A83" s="16" t="inlineStr">
        <is>
          <t>WHAT THIS TABLE IS USED FOR:
This table is the production daily billing ledger. For every vehicle on every calendar day, it records attendance status, whether the day is billable, completed weekly trips, applied daily rent, applied indemnity, and net daily rent. It is aggregated on Sunday to generate the weekly settlement (Hisaab).</t>
        </is>
      </c>
      <c r="B83" s="11" t="n"/>
      <c r="C83" s="11" t="n"/>
      <c r="D83" s="11" t="n"/>
      <c r="E83" s="11" t="n"/>
    </row>
    <row r="84">
      <c r="A84" s="11" t="n"/>
      <c r="B84" s="11" t="n"/>
      <c r="C84" s="11" t="n"/>
      <c r="D84" s="11" t="n"/>
      <c r="E84" s="11" t="n"/>
    </row>
    <row r="85">
      <c r="A85" s="3" t="inlineStr">
        <is>
          <t>Column Name</t>
        </is>
      </c>
      <c r="B85" s="3" t="inlineStr">
        <is>
          <t>Data Type</t>
        </is>
      </c>
      <c r="C85" s="3" t="inlineStr">
        <is>
          <t>Constraints / Keys</t>
        </is>
      </c>
      <c r="D85" s="3" t="inlineStr">
        <is>
          <t>Description &amp; Purpose (Plain English)</t>
        </is>
      </c>
      <c r="E85" s="3" t="inlineStr">
        <is>
          <t>Business Logic / Example Values</t>
        </is>
      </c>
    </row>
    <row r="86">
      <c r="A86" s="7" t="inlineStr">
        <is>
          <t>ledger_id</t>
        </is>
      </c>
      <c r="B86" s="8" t="inlineStr">
        <is>
          <t>BIGSERIAL</t>
        </is>
      </c>
      <c r="C86" s="14" t="inlineStr">
        <is>
          <t>PRIMARY KEY</t>
        </is>
      </c>
      <c r="D86" s="9" t="inlineStr">
        <is>
          <t>Unique transaction identifier for each daily ledger entry.</t>
        </is>
      </c>
      <c r="E86" s="9" t="inlineStr">
        <is>
          <t>1001, 1002, 1003...</t>
        </is>
      </c>
    </row>
    <row r="87">
      <c r="A87" s="4" t="inlineStr">
        <is>
          <t>log_date</t>
        </is>
      </c>
      <c r="B87" s="5" t="inlineStr">
        <is>
          <t>DATE</t>
        </is>
      </c>
      <c r="C87" s="5" t="inlineStr">
        <is>
          <t>NOT NULL</t>
        </is>
      </c>
      <c r="D87" s="6" t="inlineStr">
        <is>
          <t>Calendar date of the billing day.</t>
        </is>
      </c>
      <c r="E87" s="4" t="inlineStr">
        <is>
          <t>'2026-09-08'</t>
        </is>
      </c>
    </row>
    <row r="88">
      <c r="A88" s="7" t="inlineStr">
        <is>
          <t>week_id</t>
        </is>
      </c>
      <c r="B88" s="8" t="inlineStr">
        <is>
          <t>VARCHAR(32)</t>
        </is>
      </c>
      <c r="C88" s="8" t="inlineStr">
        <is>
          <t>NOT NULL</t>
        </is>
      </c>
      <c r="D88" s="9" t="inlineStr">
        <is>
          <t>Settlement week identifier (e.g. 2026-W36: Mon to Sun).</t>
        </is>
      </c>
      <c r="E88" s="7" t="inlineStr">
        <is>
          <t>'2026-W36'</t>
        </is>
      </c>
    </row>
    <row r="89">
      <c r="A89" s="4" t="inlineStr">
        <is>
          <t>vehicle_number</t>
        </is>
      </c>
      <c r="B89" s="5" t="inlineStr">
        <is>
          <t>VARCHAR(32)</t>
        </is>
      </c>
      <c r="C89" s="5" t="inlineStr">
        <is>
          <t>NOT NULL</t>
        </is>
      </c>
      <c r="D89" s="6" t="inlineStr">
        <is>
          <t>Registration number of the vehicle.</t>
        </is>
      </c>
      <c r="E89" s="4" t="inlineStr">
        <is>
          <t>'KA01AK1234'</t>
        </is>
      </c>
    </row>
    <row r="90">
      <c r="A90" s="7" t="inlineStr">
        <is>
          <t>partner_id</t>
        </is>
      </c>
      <c r="B90" s="8" t="inlineStr">
        <is>
          <t>VARCHAR(64)</t>
        </is>
      </c>
      <c r="C90" s="8" t="inlineStr">
        <is>
          <t>NOT NULL</t>
        </is>
      </c>
      <c r="D90" s="9" t="inlineStr">
        <is>
          <t>Partner responsible for this day's vehicle rental fees.</t>
        </is>
      </c>
      <c r="E90" s="7" t="inlineStr">
        <is>
          <t>'LETZBLRIP9036461336'</t>
        </is>
      </c>
    </row>
    <row r="91">
      <c r="A91" s="4" t="inlineStr">
        <is>
          <t>city</t>
        </is>
      </c>
      <c r="B91" s="5" t="inlineStr">
        <is>
          <t>VARCHAR(64)</t>
        </is>
      </c>
      <c r="C91" s="5" t="inlineStr">
        <is>
          <t>NOT NULL</t>
        </is>
      </c>
      <c r="D91" s="6" t="inlineStr">
        <is>
          <t>Operating city where vehicle is located.</t>
        </is>
      </c>
      <c r="E91" s="4" t="inlineStr">
        <is>
          <t>'Bengaluru'</t>
        </is>
      </c>
    </row>
    <row r="92">
      <c r="A92" s="7" t="inlineStr">
        <is>
          <t>vehicle_model</t>
        </is>
      </c>
      <c r="B92" s="8" t="inlineStr">
        <is>
          <t>VARCHAR(128)</t>
        </is>
      </c>
      <c r="C92" s="8" t="inlineStr">
        <is>
          <t>NOT NULL</t>
        </is>
      </c>
      <c r="D92" s="9" t="inlineStr">
        <is>
          <t>Vehicle model specifications.</t>
        </is>
      </c>
      <c r="E92" s="7" t="inlineStr">
        <is>
          <t>'Maruti Wagonr Tour H3 CNG'</t>
        </is>
      </c>
    </row>
    <row r="93">
      <c r="A93" s="4" t="inlineStr">
        <is>
          <t>attendance_status</t>
        </is>
      </c>
      <c r="B93" s="5" t="inlineStr">
        <is>
          <t>VARCHAR(32)</t>
        </is>
      </c>
      <c r="C93" s="5" t="inlineStr">
        <is>
          <t>NOT NULL</t>
        </is>
      </c>
      <c r="D93" s="6" t="inlineStr">
        <is>
          <t>Daily operational status ('On-Road', 'Maintenance', 'Breakdown').</t>
        </is>
      </c>
      <c r="E93" s="4" t="inlineStr">
        <is>
          <t>'On-Road', 'Maintenance'</t>
        </is>
      </c>
    </row>
    <row r="94">
      <c r="A94" s="7" t="inlineStr">
        <is>
          <t>is_billable_day</t>
        </is>
      </c>
      <c r="B94" s="8" t="inlineStr">
        <is>
          <t>BOOLEAN</t>
        </is>
      </c>
      <c r="C94" s="8" t="inlineStr">
        <is>
          <t>NOT NULL</t>
        </is>
      </c>
      <c r="D94" s="9" t="inlineStr">
        <is>
          <t>TRUE if status is On-Road; FALSE if in workshop (₹0 charged).</t>
        </is>
      </c>
      <c r="E94" s="9" t="inlineStr">
        <is>
          <t>TRUE, FALSE</t>
        </is>
      </c>
    </row>
    <row r="95">
      <c r="A95" s="4" t="inlineStr">
        <is>
          <t>weekly_completed_trips</t>
        </is>
      </c>
      <c r="B95" s="5" t="inlineStr">
        <is>
          <t>INTEGER</t>
        </is>
      </c>
      <c r="C95" s="5" t="inlineStr">
        <is>
          <t>DEFAULT 0</t>
        </is>
      </c>
      <c r="D95" s="6" t="inlineStr">
        <is>
          <t>Cumulative completed weekly Uber trips for this week.</t>
        </is>
      </c>
      <c r="E95" s="6" t="inlineStr">
        <is>
          <t>74</t>
        </is>
      </c>
    </row>
    <row r="96">
      <c r="A96" s="7" t="inlineStr">
        <is>
          <t>applied_daily_rent</t>
        </is>
      </c>
      <c r="B96" s="8" t="inlineStr">
        <is>
          <t>NUMERIC(10,2)</t>
        </is>
      </c>
      <c r="C96" s="8" t="inlineStr">
        <is>
          <t>NOT NULL DEFAULT 0.00</t>
        </is>
      </c>
      <c r="D96" s="9" t="inlineStr">
        <is>
          <t>Daily base rent resolved by priority rules (₹0 if not billable).</t>
        </is>
      </c>
      <c r="E96" s="9" t="inlineStr">
        <is>
          <t>850.00, 1050.00, 0.00</t>
        </is>
      </c>
    </row>
    <row r="97">
      <c r="A97" s="4" t="inlineStr">
        <is>
          <t>applied_daily_indemnity</t>
        </is>
      </c>
      <c r="B97" s="5" t="inlineStr">
        <is>
          <t>NUMERIC(10,2)</t>
        </is>
      </c>
      <c r="C97" s="5" t="inlineStr">
        <is>
          <t>NOT NULL DEFAULT 0.00</t>
        </is>
      </c>
      <c r="D97" s="6" t="inlineStr">
        <is>
          <t>Daily indemnity fee resolved for this vehicle (₹0 if not billable).</t>
        </is>
      </c>
      <c r="E97" s="6" t="inlineStr">
        <is>
          <t>30.00, 15.00, 0.00</t>
        </is>
      </c>
    </row>
    <row r="98">
      <c r="A98" s="7" t="inlineStr">
        <is>
          <t>net_daily_rent</t>
        </is>
      </c>
      <c r="B98" s="8" t="inlineStr">
        <is>
          <t>NUMERIC(10,2)</t>
        </is>
      </c>
      <c r="C98" s="8" t="inlineStr">
        <is>
          <t>NOT NULL DEFAULT 0.00</t>
        </is>
      </c>
      <c r="D98" s="9" t="inlineStr">
        <is>
          <t>Total billable daily fee = applied_daily_rent + applied_indemnity.</t>
        </is>
      </c>
      <c r="E98" s="9" t="inlineStr">
        <is>
          <t>880.00, 1080.00, 0.00</t>
        </is>
      </c>
    </row>
    <row r="99">
      <c r="A99" s="4" t="inlineStr">
        <is>
          <t>calculation_rule</t>
        </is>
      </c>
      <c r="B99" s="5" t="inlineStr">
        <is>
          <t>VARCHAR(128)</t>
        </is>
      </c>
      <c r="C99" s="5" t="inlineStr">
        <is>
          <t>NULLABLE</t>
        </is>
      </c>
      <c r="D99" s="6" t="inlineStr">
        <is>
          <t>Audit trace explaining the exact pricing rule applied.</t>
        </is>
      </c>
      <c r="E99" s="4" t="inlineStr">
        <is>
          <t>'Slab Tier: 70-89 (850.00/day)', 'Custom Deal: 970.00'</t>
        </is>
      </c>
    </row>
  </sheetData>
  <mergeCells count="11">
    <mergeCell ref="A65:E66"/>
    <mergeCell ref="A83:E84"/>
    <mergeCell ref="A28:E29"/>
    <mergeCell ref="A45:E46"/>
    <mergeCell ref="A64:E64"/>
    <mergeCell ref="A2:E3"/>
    <mergeCell ref="A82:E82"/>
    <mergeCell ref="A5:E5"/>
    <mergeCell ref="A6:E7"/>
    <mergeCell ref="A44:E44"/>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L13"/>
  <sheetViews>
    <sheetView showGridLines="1" workbookViewId="0">
      <selection activeCell="A1" sqref="A1"/>
    </sheetView>
  </sheetViews>
  <sheetFormatPr baseColWidth="8" defaultRowHeight="15"/>
  <cols>
    <col width="28" customWidth="1" min="1" max="1"/>
    <col width="16" customWidth="1" min="2" max="2"/>
    <col width="24" customWidth="1" min="3" max="3"/>
    <col width="22" customWidth="1" min="4" max="4"/>
    <col width="14" customWidth="1" min="5" max="5"/>
    <col width="14" customWidth="1" min="6" max="6"/>
    <col width="25" customWidth="1" min="7" max="7"/>
    <col width="18" customWidth="1" min="8" max="8"/>
    <col width="18" customWidth="1" min="9" max="9"/>
    <col width="18" customWidth="1" min="10" max="10"/>
    <col width="18" customWidth="1" min="11" max="11"/>
    <col width="46" customWidth="1" min="12" max="12"/>
  </cols>
  <sheetData>
    <row r="2">
      <c r="A2" s="1" t="inlineStr">
        <is>
          <t>LetzRyd Rental Calculation Scenarios &amp; Examples</t>
        </is>
      </c>
    </row>
    <row r="3"/>
    <row r="5">
      <c r="A5" s="2" t="inlineStr">
        <is>
          <t>1. Walkthrough of Different Driver Plans &amp; Cases</t>
        </is>
      </c>
    </row>
    <row r="6">
      <c r="A6" s="3" t="inlineStr">
        <is>
          <t>Scenario / Driver Profile</t>
        </is>
      </c>
      <c r="B6" s="3" t="inlineStr">
        <is>
          <t>City</t>
        </is>
      </c>
      <c r="C6" s="3" t="inlineStr">
        <is>
          <t>Vehicle Model</t>
        </is>
      </c>
      <c r="D6" s="3" t="inlineStr">
        <is>
          <t>Plan Scheme</t>
        </is>
      </c>
      <c r="E6" s="3" t="inlineStr">
        <is>
          <t>Weekly Trips</t>
        </is>
      </c>
      <c r="F6" s="3" t="inlineStr">
        <is>
          <t>Days On-Road</t>
        </is>
      </c>
      <c r="G6" s="3" t="inlineStr">
        <is>
          <t>Priority Level Applied</t>
        </is>
      </c>
      <c r="H6" s="3" t="inlineStr">
        <is>
          <t>Applied Daily Rent (₹)</t>
        </is>
      </c>
      <c r="I6" s="3" t="inlineStr">
        <is>
          <t>Daily Indemnity (₹)</t>
        </is>
      </c>
      <c r="J6" s="3" t="inlineStr">
        <is>
          <t>Net Daily Rent (₹)</t>
        </is>
      </c>
      <c r="K6" s="3" t="inlineStr">
        <is>
          <t>Total Weekly Rent (₹)</t>
        </is>
      </c>
      <c r="L6" s="3" t="inlineStr">
        <is>
          <t>Explanation &amp; Formula Used</t>
        </is>
      </c>
    </row>
    <row r="7">
      <c r="A7" s="6" t="inlineStr">
        <is>
          <t>1. High-Performance Uber Driver (Raju Sharma)</t>
        </is>
      </c>
      <c r="B7" s="5" t="inlineStr">
        <is>
          <t>Bengaluru</t>
        </is>
      </c>
      <c r="C7" s="6" t="inlineStr">
        <is>
          <t>Maruti Wagonr Tour H3 CNG</t>
        </is>
      </c>
      <c r="D7" s="6" t="inlineStr">
        <is>
          <t>Uber Reducing Rent</t>
        </is>
      </c>
      <c r="E7" s="5" t="n">
        <v>78</v>
      </c>
      <c r="F7" s="5" t="n">
        <v>6</v>
      </c>
      <c r="G7" s="6" t="inlineStr">
        <is>
          <t>Priority 2B (Uber Dynamic Slab)</t>
        </is>
      </c>
      <c r="H7" s="17" t="n">
        <v>850</v>
      </c>
      <c r="I7" s="17" t="n">
        <v>30</v>
      </c>
      <c r="J7" s="18">
        <f>H7+I7</f>
        <v/>
      </c>
      <c r="K7" s="18">
        <f>J7*F7</f>
        <v/>
      </c>
      <c r="L7" s="6" t="inlineStr">
        <is>
          <t>Raju drove exclusively for Uber and hit 78 trips. Bangalore rate card assigns ₹850/day (tier 70+). With ₹30 indemnity, daily net = ₹880. Weekly total for 6 on-road days = 6 × ₹880 = ₹5,280.</t>
        </is>
      </c>
    </row>
    <row r="8">
      <c r="A8" s="9" t="inlineStr">
        <is>
          <t>2. Moonlighting Driver on Ola (Suresh Kumar)</t>
        </is>
      </c>
      <c r="B8" s="8" t="inlineStr">
        <is>
          <t>Bengaluru</t>
        </is>
      </c>
      <c r="C8" s="9" t="inlineStr">
        <is>
          <t>Maruti Wagonr Tour H3 CNG</t>
        </is>
      </c>
      <c r="D8" s="9" t="inlineStr">
        <is>
          <t>Uber Reducing Rent</t>
        </is>
      </c>
      <c r="E8" s="8" t="n">
        <v>24</v>
      </c>
      <c r="F8" s="8" t="n">
        <v>6</v>
      </c>
      <c r="G8" s="9" t="inlineStr">
        <is>
          <t>Priority 2B (Uber Base Tier 1)</t>
        </is>
      </c>
      <c r="H8" s="19" t="n">
        <v>1050</v>
      </c>
      <c r="I8" s="19" t="n">
        <v>30</v>
      </c>
      <c r="J8" s="20">
        <f>H8+I8</f>
        <v/>
      </c>
      <c r="K8" s="20">
        <f>J8*F8</f>
        <v/>
      </c>
      <c r="L8" s="9" t="inlineStr">
        <is>
          <t>Suresh is on an Uber contract but splits time driving for Ola. Untracked Ola trips leave his Uber count at only 24 trips. He stays in Tier 1 (₹1,050/day). Net daily = ₹1,080. Weekly total = ₹6,480. LetzRyd recovers full base rent.</t>
        </is>
      </c>
    </row>
    <row r="9">
      <c r="A9" s="6" t="inlineStr">
        <is>
          <t>3. Standard All-Platform Driver (Amit Patil)</t>
        </is>
      </c>
      <c r="B9" s="5" t="inlineStr">
        <is>
          <t>Hyderabad</t>
        </is>
      </c>
      <c r="C9" s="6" t="inlineStr">
        <is>
          <t>Maruti Wagonr Tour H3 CNG</t>
        </is>
      </c>
      <c r="D9" s="6" t="inlineStr">
        <is>
          <t>All Platform Flat</t>
        </is>
      </c>
      <c r="E9" s="5" t="n">
        <v>15</v>
      </c>
      <c r="F9" s="5" t="n">
        <v>7</v>
      </c>
      <c r="G9" s="6" t="inlineStr">
        <is>
          <t>Priority 2A (All-Platform Flat Slab)</t>
        </is>
      </c>
      <c r="H9" s="17" t="n">
        <v>1050</v>
      </c>
      <c r="I9" s="17" t="n">
        <v>30</v>
      </c>
      <c r="J9" s="18">
        <f>H9+I9</f>
        <v/>
      </c>
      <c r="K9" s="18">
        <f>J9*F9</f>
        <v/>
      </c>
      <c r="L9" s="6" t="inlineStr">
        <is>
          <t>Amit signed an All-Platform contract with no custom deal. Trips are ignored. Engine applies standard All-Platform slab (₹1,050/day) + ₹30 indemnity = ₹1,080/day. Weekly total for 7 days = ₹7,560.</t>
        </is>
      </c>
    </row>
    <row r="10">
      <c r="A10" s="9" t="inlineStr">
        <is>
          <t>4A. Multi-Car Operator - WagonR (Mohd Abdul Qadir)</t>
        </is>
      </c>
      <c r="B10" s="8" t="inlineStr">
        <is>
          <t>Hyderabad</t>
        </is>
      </c>
      <c r="C10" s="9" t="inlineStr">
        <is>
          <t>Maruti Wagonr Tour H3 CNG</t>
        </is>
      </c>
      <c r="D10" s="9" t="inlineStr">
        <is>
          <t>Operator Custom Flat</t>
        </is>
      </c>
      <c r="E10" s="8" t="n">
        <v>0</v>
      </c>
      <c r="F10" s="8" t="n">
        <v>6</v>
      </c>
      <c r="G10" s="9" t="inlineStr">
        <is>
          <t>Priority 1 (Custom Deal)</t>
        </is>
      </c>
      <c r="H10" s="19" t="n">
        <v>970</v>
      </c>
      <c r="I10" s="19" t="n">
        <v>30</v>
      </c>
      <c r="J10" s="20">
        <f>H10+I10</f>
        <v/>
      </c>
      <c r="K10" s="20">
        <f>J10*F10</f>
        <v/>
      </c>
      <c r="L10" s="9" t="inlineStr">
        <is>
          <t>Mohd Abdul Qadir runs multiple cars. For WagonR, his negotiated rate is ₹970/day. Priority 1 overrides standard slabs. Net daily = ₹970 + ₹30 = ₹1,000. Weekly total for 6 days = ₹6,000.</t>
        </is>
      </c>
    </row>
    <row r="11">
      <c r="A11" s="6" t="inlineStr">
        <is>
          <t>4B. Multi-Car Operator - Dzire (Mohd Abdul Qadir)</t>
        </is>
      </c>
      <c r="B11" s="5" t="inlineStr">
        <is>
          <t>Hyderabad</t>
        </is>
      </c>
      <c r="C11" s="6" t="inlineStr">
        <is>
          <t>Maruti Dzire Tour S CNG</t>
        </is>
      </c>
      <c r="D11" s="6" t="inlineStr">
        <is>
          <t>Operator Custom Flat</t>
        </is>
      </c>
      <c r="E11" s="5" t="n">
        <v>0</v>
      </c>
      <c r="F11" s="5" t="n">
        <v>6</v>
      </c>
      <c r="G11" s="6" t="inlineStr">
        <is>
          <t>Priority 1 (Custom Deal)</t>
        </is>
      </c>
      <c r="H11" s="17" t="n">
        <v>1070</v>
      </c>
      <c r="I11" s="17" t="n">
        <v>30</v>
      </c>
      <c r="J11" s="18">
        <f>H11+I11</f>
        <v/>
      </c>
      <c r="K11" s="18">
        <f>J11*F11</f>
        <v/>
      </c>
      <c r="L11" s="6" t="inlineStr">
        <is>
          <t>Same operator (Mohd Abdul Qadir) for his Maruti Dzire vehicle. His negotiated deal for Dzire is ₹1,070/day. Net daily = ₹1,070 + ₹30 = ₹1,100. Weekly total for 6 days = ₹6,600. Model rates stay completely separate.</t>
        </is>
      </c>
    </row>
    <row r="12">
      <c r="A12" s="9" t="inlineStr">
        <is>
          <t>5. Operator with ₹0 Indemnity (Shaik Kareem)</t>
        </is>
      </c>
      <c r="B12" s="8" t="inlineStr">
        <is>
          <t>Hyderabad</t>
        </is>
      </c>
      <c r="C12" s="9" t="inlineStr">
        <is>
          <t>Hyundai Xcent (Retired Fleet)</t>
        </is>
      </c>
      <c r="D12" s="9" t="inlineStr">
        <is>
          <t>Operator Custom Flat</t>
        </is>
      </c>
      <c r="E12" s="8" t="n">
        <v>0</v>
      </c>
      <c r="F12" s="8" t="n">
        <v>5</v>
      </c>
      <c r="G12" s="9" t="inlineStr">
        <is>
          <t>Priority 1 (Custom Deal + ₹0 Indemnity)</t>
        </is>
      </c>
      <c r="H12" s="19" t="n">
        <v>900</v>
      </c>
      <c r="I12" s="19" t="n">
        <v>0</v>
      </c>
      <c r="J12" s="20">
        <f>H12+I12</f>
        <v/>
      </c>
      <c r="K12" s="20">
        <f>J12*F12</f>
        <v/>
      </c>
      <c r="L12" s="9" t="inlineStr">
        <is>
          <t>Shaik Kareem operates Hyundai Xcents in Hyderabad under a custom contract of ₹900/day and ₹0 indemnity. Net daily = ₹900. Weekly total for 5 on-road days = ₹4,500.</t>
        </is>
      </c>
    </row>
    <row r="13">
      <c r="A13" s="6" t="inlineStr">
        <is>
          <t>6. Maintenance / Workshop Day (Non-Billable)</t>
        </is>
      </c>
      <c r="B13" s="5" t="inlineStr">
        <is>
          <t>Bengaluru</t>
        </is>
      </c>
      <c r="C13" s="6" t="inlineStr">
        <is>
          <t>Maruti Wagonr Tour H3 CNG</t>
        </is>
      </c>
      <c r="D13" s="6" t="inlineStr">
        <is>
          <t>Uber Reducing Rent</t>
        </is>
      </c>
      <c r="E13" s="5" t="n">
        <v>75</v>
      </c>
      <c r="F13" s="5" t="n">
        <v>4</v>
      </c>
      <c r="G13" s="6" t="inlineStr">
        <is>
          <t>Attendance Check: 2 Days Workshop</t>
        </is>
      </c>
      <c r="H13" s="17" t="n">
        <v>850</v>
      </c>
      <c r="I13" s="17" t="n">
        <v>30</v>
      </c>
      <c r="J13" s="18">
        <f>H13+I13</f>
        <v/>
      </c>
      <c r="K13" s="18">
        <f>J13*F13</f>
        <v/>
      </c>
      <c r="L13" s="6" t="inlineStr">
        <is>
          <t>Vehicle was on-road for 4 days and in workshop for 2 days. On workshop days, is_billable_day = FALSE (₹0 rent, ₹0 indemnity). On-road days bill at ₹880/day (75 trips). Weekly total = 4 × ₹880 = ₹3,520.</t>
        </is>
      </c>
    </row>
  </sheetData>
  <mergeCells count="1">
    <mergeCell ref="A2: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2026-09-11T12:47:09Z</dcterms:created>
  <dcterms:modified xmlns:dcterms="http://purl.org/dc/terms/" xmlns:xsi="http://www.w3.org/2001/XMLSchema-instance" xsi:type="dcterms:W3CDTF">2026-09-11T12:47:09Z</dcterms:modified>
</cp:coreProperties>
</file>